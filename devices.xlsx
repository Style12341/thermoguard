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oyel\OneDrive\Documents\Thermoguard\"/>
    </mc:Choice>
  </mc:AlternateContent>
  <xr:revisionPtr revIDLastSave="0" documentId="13_ncr:1_{DCFCB622-8BDF-4B86-B9AE-55EB67803F9D}" xr6:coauthVersionLast="47" xr6:coauthVersionMax="47" xr10:uidLastSave="{00000000-0000-0000-0000-000000000000}"/>
  <bookViews>
    <workbookView xWindow="38280" yWindow="2700" windowWidth="29040" windowHeight="15720" xr2:uid="{00000000-000D-0000-FFFF-FFFF00000000}"/>
  </bookViews>
  <sheets>
    <sheet name="Devices" sheetId="1" r:id="rId1"/>
    <sheet name="Cli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K7" i="1" a="1"/>
  <c r="K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<sst xmlns="http://schemas.openxmlformats.org/spreadsheetml/2006/main" count="86" uniqueCount="63">
  <si>
    <t>SERIAL_NUMBER</t>
  </si>
  <si>
    <t>DEV_EUI</t>
  </si>
  <si>
    <t>VOLTAGE_MEASURED</t>
  </si>
  <si>
    <t>VOLTAGE_REPORTED</t>
  </si>
  <si>
    <t>CLIENT</t>
  </si>
  <si>
    <t>CLIENT_ID</t>
  </si>
  <si>
    <t>70B3D57ED00728BF</t>
  </si>
  <si>
    <t>70B3D57ED00728E3</t>
  </si>
  <si>
    <t>70B3D57ED00728E4</t>
  </si>
  <si>
    <t>70B3D57ED00728E5</t>
  </si>
  <si>
    <t>70B3D57ED00728E6</t>
  </si>
  <si>
    <t>70B3D57ED00728E7</t>
  </si>
  <si>
    <t>70B3D57ED00728E8</t>
  </si>
  <si>
    <t>70B3D57ED00728E9</t>
  </si>
  <si>
    <t>70B3D57ED00728EA</t>
  </si>
  <si>
    <t>70B3D57ED00728EB</t>
  </si>
  <si>
    <t>70B3D57ED00728EC</t>
  </si>
  <si>
    <t>70B3D57ED00728ED</t>
  </si>
  <si>
    <t>70B3D57ED00728EE</t>
  </si>
  <si>
    <t>70B3D57ED00728EF</t>
  </si>
  <si>
    <t>70B3D57ED00728F0</t>
  </si>
  <si>
    <t>APP_KEY</t>
  </si>
  <si>
    <t>GR-0001</t>
  </si>
  <si>
    <t>GR-0002</t>
  </si>
  <si>
    <t>GR-0004</t>
  </si>
  <si>
    <t>TEST-0001</t>
  </si>
  <si>
    <t>TEST-0002</t>
  </si>
  <si>
    <t>TEST-0003</t>
  </si>
  <si>
    <t>TEST-0004</t>
  </si>
  <si>
    <t>TEST-0005</t>
  </si>
  <si>
    <t>GR-0003</t>
  </si>
  <si>
    <t>CLIENT_NAME</t>
  </si>
  <si>
    <t>CLIENT_PREFIX</t>
  </si>
  <si>
    <t>DEVICE_COUNT</t>
  </si>
  <si>
    <t>Good Rest SRL</t>
  </si>
  <si>
    <t>GR</t>
  </si>
  <si>
    <t>TEST</t>
  </si>
  <si>
    <t>0181dd9ee612fddf3ad26f9cbfd412a0</t>
  </si>
  <si>
    <t>FB39AE4BDE08E7329540EBFE4CC3414E</t>
  </si>
  <si>
    <t>754A7D1064611BEAFF3EDF09E6132E25</t>
  </si>
  <si>
    <t>3E74B631BFF9E1A524190ECE8EAB51E7</t>
  </si>
  <si>
    <t>1470EA97AC7204097AD9A4BD83A8F399</t>
  </si>
  <si>
    <t>4318608D344502BE5ECE9241B18B5856</t>
  </si>
  <si>
    <t>663234A0FC88290A62BD4A050E8B5963</t>
  </si>
  <si>
    <t>7D2DDBBADDF9B0DF590182EFE357C387</t>
  </si>
  <si>
    <t>938080278D0289374FDD4C7B2586365C</t>
  </si>
  <si>
    <t>276A0A8BD1D918DA9BD3C39AB6BB6CF1</t>
  </si>
  <si>
    <t>4FF77F2046770BBBC669C28891496EC3</t>
  </si>
  <si>
    <t>BOARD</t>
  </si>
  <si>
    <t>SI</t>
  </si>
  <si>
    <t>NO</t>
  </si>
  <si>
    <t>COMENTARIO</t>
  </si>
  <si>
    <t>TEST-0010</t>
  </si>
  <si>
    <t>TEST-0015</t>
  </si>
  <si>
    <t>Bateria Azul 2300 maH</t>
  </si>
  <si>
    <t>LINK</t>
  </si>
  <si>
    <t>https://goodrest.thermoguard.bernard.com.ar/devices/48d4185f-54df-40b3-a8b1-7575f91d1aa8</t>
  </si>
  <si>
    <t>https://goodrest.thermoguard.bernard.com.ar/devices/3436f9ae-dc5f-415c-88ba-64eca5e37af4</t>
  </si>
  <si>
    <t>https://goodrest.thermoguard.bernard.com.ar/devices/5ce8643e-c911-4457-8977-7e44b72f47cb</t>
  </si>
  <si>
    <t>https://goodrest.thermoguard.bernard.com.ar/devices/08d17e1a-051e-44ad-b10a-2568641a1d8f</t>
  </si>
  <si>
    <t>TEST-0104</t>
  </si>
  <si>
    <t>70B3D57ED00728FF</t>
  </si>
  <si>
    <t>AD5DA099427AB76C03591AD29893A1C6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</si>
</sst>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DA425-F10D-414C-933C-3F3A48044E36}" name="DEVICES_TABLE" displayName="DEVICES_TABLE" ref="A1:J17" totalsRowShown="0">
  <autoFilter ref="A1:J17" xr:uid="{371DA425-F10D-414C-933C-3F3A48044E36}"/>
  <tableColumns count="10">
    <tableColumn id="1" xr3:uid="{DDFDFD3A-0F67-44BC-90CE-8508D1EEF5DF}" name="SERIAL_NUMBER"/>
    <tableColumn id="2" xr3:uid="{1850FEB3-A6F0-4B5C-BEFD-AEBFC49FCE8C}" name="DEV_EUI"/>
    <tableColumn id="3" xr3:uid="{0057FAC1-38FD-4174-BDAC-990A1D0E0166}" name="APP_KEY"/>
    <tableColumn id="4" xr3:uid="{2D3931F4-9DCE-48B8-A238-D47001B95353}" name="VOLTAGE_MEASURED"/>
    <tableColumn id="5" xr3:uid="{628222F4-9B18-4D85-B022-C2154C1E4FBC}" name="VOLTAGE_REPORTED"/>
    <tableColumn id="6" xr3:uid="{5CDA7C05-C7A5-4492-8DCA-DC6AE6F51276}" name="CLIENT"/>
    <tableColumn id="7" xr3:uid="{AEB411F1-B16D-4DC0-90B6-14974ED41593}" name="CLIENT_ID"/>
    <tableColumn id="8" xr3:uid="{2E42CDED-B7E4-49CD-B60B-AE62A1FC96EA}" name="BOARD"/>
    <tableColumn id="9" xr3:uid="{DA335AB7-EE2B-4B80-83BE-68328AAC68CC}" name="COMENTARIO"/>
    <tableColumn id="10" xr3:uid="{441604D8-926B-419D-B3E0-0871FB4D65C7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5ACB7-E62D-4072-832D-8AA92A2760B2}" name="CLIENTS_TABLE" displayName="CLIENTS_TABLE" ref="A1:C3" totalsRowShown="0">
  <autoFilter ref="A1:C3" xr:uid="{7395ACB7-E62D-4072-832D-8AA92A2760B2}"/>
  <tableColumns count="3">
    <tableColumn id="1" xr3:uid="{E3B822E9-C8C9-4D12-BA19-6F29D8064867}" name="CLIENT_NAME"/>
    <tableColumn id="2" xr3:uid="{29B70FAB-7D6D-4297-9136-47776A852A93}" name="CLIENT_PREFIX"/>
    <tableColumn id="3" xr3:uid="{2BAC8EE9-B5E7-4DDD-84B4-C1CE5E5F426F}" name="DEVICE_COUNT" dataDxfId="0">
      <calculatedColumnFormula>COUNTIF(DEVICES_TABLE[CLIENT],"="&amp;CLIENTS_TABLE[[#This Row],[CLIENT_NAME]])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drest.thermoguard.bernard.com.ar/devices/48d4185f-54df-40b3-a8b1-7575f91d1aa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E23" sqref="E23"/>
    </sheetView>
  </sheetViews>
  <sheetFormatPr defaultRowHeight="14.4" x14ac:dyDescent="0.3"/>
  <cols>
    <col min="1" max="1" width="17.77734375" bestFit="1" customWidth="1"/>
    <col min="2" max="2" width="18" bestFit="1" customWidth="1"/>
    <col min="3" max="3" width="36.109375" bestFit="1" customWidth="1"/>
    <col min="4" max="4" width="22.21875" bestFit="1" customWidth="1"/>
    <col min="5" max="5" width="21.33203125" bestFit="1" customWidth="1"/>
    <col min="6" max="6" width="13.21875" bestFit="1" customWidth="1"/>
    <col min="7" max="7" width="11.88671875" bestFit="1" customWidth="1"/>
    <col min="8" max="8" width="9.33203125" bestFit="1" customWidth="1"/>
    <col min="9" max="9" width="21" customWidth="1"/>
  </cols>
  <sheetData>
    <row r="1" spans="1:11" x14ac:dyDescent="0.3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48</v>
      </c>
      <c r="I1" t="s">
        <v>51</v>
      </c>
      <c r="J1" t="s">
        <v>55</v>
      </c>
    </row>
    <row r="2" spans="1:11" x14ac:dyDescent="0.3">
      <c r="A2">
        <v>1</v>
      </c>
      <c r="B2" t="s">
        <v>6</v>
      </c>
      <c r="C2" t="s">
        <v>37</v>
      </c>
      <c r="D2">
        <v>4.0999999999999996</v>
      </c>
      <c r="E2">
        <v>3.8180000000000001</v>
      </c>
      <c r="F2" t="s">
        <v>36</v>
      </c>
      <c r="G2" t="s">
        <v>25</v>
      </c>
      <c r="H2" t="s">
        <v>50</v>
      </c>
    </row>
    <row r="3" spans="1:11" x14ac:dyDescent="0.3">
      <c r="A3">
        <v>2</v>
      </c>
      <c r="B3" t="s">
        <v>7</v>
      </c>
      <c r="C3" t="s">
        <v>38</v>
      </c>
      <c r="D3">
        <v>3.98</v>
      </c>
      <c r="E3">
        <v>3.6989999999999998</v>
      </c>
      <c r="F3" t="s">
        <v>36</v>
      </c>
      <c r="G3" t="s">
        <v>26</v>
      </c>
      <c r="H3" t="s">
        <v>50</v>
      </c>
    </row>
    <row r="4" spans="1:11" x14ac:dyDescent="0.3">
      <c r="A4">
        <v>3</v>
      </c>
      <c r="B4" t="s">
        <v>8</v>
      </c>
      <c r="C4" t="s">
        <v>39</v>
      </c>
      <c r="D4">
        <v>4.1100000000000003</v>
      </c>
      <c r="E4">
        <v>3.61</v>
      </c>
      <c r="F4" t="s">
        <v>36</v>
      </c>
      <c r="G4" t="s">
        <v>27</v>
      </c>
      <c r="H4" t="s">
        <v>50</v>
      </c>
    </row>
    <row r="5" spans="1:11" x14ac:dyDescent="0.3">
      <c r="A5">
        <v>4</v>
      </c>
      <c r="B5" t="s">
        <v>9</v>
      </c>
      <c r="C5" t="s">
        <v>40</v>
      </c>
      <c r="D5">
        <v>4.18</v>
      </c>
      <c r="E5">
        <v>3.86</v>
      </c>
      <c r="F5" t="s">
        <v>36</v>
      </c>
      <c r="G5" t="s">
        <v>28</v>
      </c>
      <c r="H5" t="s">
        <v>50</v>
      </c>
    </row>
    <row r="6" spans="1:11" x14ac:dyDescent="0.3">
      <c r="A6">
        <v>5</v>
      </c>
      <c r="B6" t="s">
        <v>10</v>
      </c>
      <c r="C6" t="s">
        <v>41</v>
      </c>
      <c r="D6">
        <v>4.18</v>
      </c>
      <c r="E6">
        <v>3.86</v>
      </c>
      <c r="F6" t="s">
        <v>36</v>
      </c>
      <c r="G6" t="s">
        <v>29</v>
      </c>
      <c r="H6" t="s">
        <v>50</v>
      </c>
    </row>
    <row r="7" spans="1:11" x14ac:dyDescent="0.3">
      <c r="A7">
        <v>6</v>
      </c>
      <c r="B7" t="s">
        <v>20</v>
      </c>
      <c r="K7" t="str" cm="1">
        <f t="array" aca="1" ref="K7:K8" ca="1">INDIRECT("CLIENTS_TABLE[CLIENT_NAME]")</f>
        <v>Good Rest SRL</v>
      </c>
    </row>
    <row r="8" spans="1:11" x14ac:dyDescent="0.3">
      <c r="A8">
        <v>7</v>
      </c>
      <c r="B8" t="s">
        <v>12</v>
      </c>
      <c r="K8" t="str">
        <f ca="1"/>
        <v>TEST</v>
      </c>
    </row>
    <row r="9" spans="1:11" x14ac:dyDescent="0.3">
      <c r="A9">
        <v>8</v>
      </c>
      <c r="B9" t="s">
        <v>13</v>
      </c>
    </row>
    <row r="10" spans="1:11" x14ac:dyDescent="0.3">
      <c r="A10">
        <v>9</v>
      </c>
      <c r="B10" t="s">
        <v>14</v>
      </c>
      <c r="C10" t="s">
        <v>44</v>
      </c>
      <c r="D10">
        <v>4.17</v>
      </c>
      <c r="E10">
        <v>3.72</v>
      </c>
      <c r="F10" t="s">
        <v>34</v>
      </c>
      <c r="G10" t="s">
        <v>22</v>
      </c>
      <c r="H10" t="s">
        <v>49</v>
      </c>
      <c r="J10" s="1" t="s">
        <v>56</v>
      </c>
    </row>
    <row r="11" spans="1:11" x14ac:dyDescent="0.3">
      <c r="A11">
        <v>10</v>
      </c>
      <c r="B11" t="s">
        <v>15</v>
      </c>
      <c r="C11" t="s">
        <v>47</v>
      </c>
      <c r="D11">
        <v>4.17</v>
      </c>
      <c r="E11">
        <v>3.83</v>
      </c>
      <c r="F11" t="s">
        <v>36</v>
      </c>
      <c r="G11" t="s">
        <v>52</v>
      </c>
      <c r="H11" t="s">
        <v>49</v>
      </c>
    </row>
    <row r="12" spans="1:11" x14ac:dyDescent="0.3">
      <c r="A12">
        <v>11</v>
      </c>
      <c r="B12" t="s">
        <v>16</v>
      </c>
      <c r="C12" t="s">
        <v>42</v>
      </c>
      <c r="D12">
        <v>4.17</v>
      </c>
      <c r="E12">
        <v>3.85</v>
      </c>
      <c r="F12" t="s">
        <v>34</v>
      </c>
      <c r="G12" t="s">
        <v>30</v>
      </c>
      <c r="H12" t="s">
        <v>49</v>
      </c>
      <c r="J12" t="s">
        <v>58</v>
      </c>
    </row>
    <row r="13" spans="1:11" x14ac:dyDescent="0.3">
      <c r="A13">
        <v>12</v>
      </c>
      <c r="B13" t="s">
        <v>17</v>
      </c>
      <c r="C13" t="s">
        <v>43</v>
      </c>
      <c r="D13">
        <v>4.17</v>
      </c>
      <c r="E13">
        <v>3.87</v>
      </c>
      <c r="F13" t="s">
        <v>34</v>
      </c>
      <c r="G13" t="s">
        <v>24</v>
      </c>
      <c r="H13" t="s">
        <v>49</v>
      </c>
      <c r="J13" t="s">
        <v>59</v>
      </c>
    </row>
    <row r="14" spans="1:11" x14ac:dyDescent="0.3">
      <c r="A14">
        <v>13</v>
      </c>
      <c r="B14" t="s">
        <v>18</v>
      </c>
      <c r="C14" t="s">
        <v>45</v>
      </c>
      <c r="D14">
        <v>4.17</v>
      </c>
      <c r="E14">
        <v>3.82</v>
      </c>
      <c r="F14" t="s">
        <v>34</v>
      </c>
      <c r="G14" t="s">
        <v>23</v>
      </c>
      <c r="H14" t="s">
        <v>49</v>
      </c>
      <c r="J14" t="s">
        <v>57</v>
      </c>
    </row>
    <row r="15" spans="1:11" x14ac:dyDescent="0.3">
      <c r="A15">
        <v>14</v>
      </c>
      <c r="B15" t="s">
        <v>19</v>
      </c>
    </row>
    <row r="16" spans="1:11" x14ac:dyDescent="0.3">
      <c r="A16">
        <v>15</v>
      </c>
      <c r="B16" t="s">
        <v>11</v>
      </c>
      <c r="C16" t="s">
        <v>46</v>
      </c>
      <c r="D16">
        <v>4.18</v>
      </c>
      <c r="E16">
        <v>3.78</v>
      </c>
      <c r="F16" t="s">
        <v>36</v>
      </c>
      <c r="G16" t="s">
        <v>53</v>
      </c>
      <c r="H16" t="s">
        <v>49</v>
      </c>
      <c r="I16" t="s">
        <v>54</v>
      </c>
    </row>
    <row r="17" spans="1:8" x14ac:dyDescent="0.3">
      <c r="A17">
        <v>104</v>
      </c>
      <c r="B17" t="s">
        <v>61</v>
      </c>
      <c r="C17" t="s">
        <v>62</v>
      </c>
      <c r="D17">
        <v>4.1399999999999997</v>
      </c>
      <c r="E17">
        <v>3.64</v>
      </c>
      <c r="F17" t="s">
        <v>36</v>
      </c>
      <c r="G17" t="s">
        <v>60</v>
      </c>
      <c r="H17" t="s">
        <v>49</v>
      </c>
    </row>
  </sheetData>
  <phoneticPr fontId="1" type="noConversion"/>
  <dataValidations disablePrompts="1" count="1">
    <dataValidation type="list" allowBlank="1" showInputMessage="1" showErrorMessage="1" sqref="F2:F17" xr:uid="{A2CB1A3C-BAF6-4008-8029-88D6EF68FAEB}">
      <formula1>INDIRECT("CLIENTS_TABLE[CLIENT_NAME]")</formula1>
    </dataValidation>
  </dataValidations>
  <hyperlinks>
    <hyperlink ref="J10" r:id="rId1" xr:uid="{C093FDA1-E1D6-4AFD-B3F9-C5628C848F56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9B66-EAF1-49A7-9C70-602F38D49B8C}">
  <dimension ref="A1:C3"/>
  <sheetViews>
    <sheetView workbookViewId="0">
      <selection activeCell="E2" sqref="E2"/>
    </sheetView>
  </sheetViews>
  <sheetFormatPr defaultRowHeight="14.4" x14ac:dyDescent="0.3"/>
  <cols>
    <col min="1" max="1" width="15.109375" customWidth="1"/>
    <col min="2" max="2" width="15.5546875" customWidth="1"/>
    <col min="3" max="3" width="16.10937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t="s">
        <v>34</v>
      </c>
      <c r="B2" t="s">
        <v>35</v>
      </c>
      <c r="C2">
        <f>COUNTIF(DEVICES_TABLE[CLIENT],"="&amp;CLIENTS_TABLE[[#This Row],[CLIENT_NAME]])</f>
        <v>4</v>
      </c>
    </row>
    <row r="3" spans="1:3" x14ac:dyDescent="0.3">
      <c r="A3" t="s">
        <v>36</v>
      </c>
      <c r="B3" t="s">
        <v>36</v>
      </c>
      <c r="C3">
        <f>COUNTIF(DEVICES_TABLE[CLIENT],"="&amp;CLIENTS_TABLE[[#This Row],[CLIENT_NAME]])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bernard</dc:creator>
  <cp:lastModifiedBy>maxi bernard</cp:lastModifiedBy>
  <dcterms:created xsi:type="dcterms:W3CDTF">2015-06-05T18:17:20Z</dcterms:created>
  <dcterms:modified xsi:type="dcterms:W3CDTF">2026-03-04T02:49:52Z</dcterms:modified>
</cp:coreProperties>
</file>